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purdue0-my.sharepoint.com/personal/luo438_purdue_edu/Documents/PART Stuff/RearMotor_Mount/V3.2_HL/"/>
    </mc:Choice>
  </mc:AlternateContent>
  <xr:revisionPtr revIDLastSave="233" documentId="11_F25DC773A252ABDACC1048F109DA6CBA5BDE58EA" xr6:coauthVersionLast="47" xr6:coauthVersionMax="47" xr10:uidLastSave="{759ED8C4-A514-45ED-A79A-40EEF1F45373}"/>
  <bookViews>
    <workbookView xWindow="11520" yWindow="0" windowWidth="11520" windowHeight="123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" i="1" l="1"/>
  <c r="B41" i="1"/>
  <c r="B40" i="1"/>
  <c r="B39" i="1"/>
  <c r="B35" i="1"/>
  <c r="B32" i="1"/>
  <c r="B31" i="1"/>
  <c r="B36" i="1"/>
  <c r="B28" i="1"/>
  <c r="B29" i="1" s="1"/>
  <c r="B34" i="1"/>
  <c r="B26" i="1"/>
  <c r="B19" i="1"/>
  <c r="B20" i="1"/>
  <c r="F19" i="1"/>
  <c r="F17" i="1"/>
  <c r="B22" i="1"/>
  <c r="B21" i="1"/>
  <c r="B18" i="1"/>
  <c r="F16" i="1"/>
  <c r="B16" i="1"/>
  <c r="B14" i="1"/>
  <c r="B13" i="1"/>
  <c r="B15" i="1" s="1"/>
  <c r="B17" i="1" s="1"/>
  <c r="B37" i="1" l="1"/>
</calcChain>
</file>

<file path=xl/sharedStrings.xml><?xml version="1.0" encoding="utf-8"?>
<sst xmlns="http://schemas.openxmlformats.org/spreadsheetml/2006/main" count="94" uniqueCount="66">
  <si>
    <t xml:space="preserve">Material: </t>
  </si>
  <si>
    <t>Butyl Rubber Sheet</t>
  </si>
  <si>
    <t>https://www.mcmaster.com/8609K45/</t>
  </si>
  <si>
    <t>Young's Modulus (&lt;100% Compression):</t>
  </si>
  <si>
    <t>Mpa</t>
  </si>
  <si>
    <t>Assumed Compression Set:</t>
  </si>
  <si>
    <t>%</t>
  </si>
  <si>
    <t>Material Properties:</t>
  </si>
  <si>
    <t>https://www.ekibv.com/rubber/butyl-rubber/eki899</t>
  </si>
  <si>
    <t>Design Givens:</t>
  </si>
  <si>
    <t>Gap to Close (w/out notches):</t>
  </si>
  <si>
    <t>inches</t>
  </si>
  <si>
    <t>Notch Depth:</t>
  </si>
  <si>
    <t>Rubber Sheet Thickness:</t>
  </si>
  <si>
    <t>Real Gap to Fill (with notches):</t>
  </si>
  <si>
    <t>Calculations:</t>
  </si>
  <si>
    <t>Compression Set Rubber Thickness:</t>
  </si>
  <si>
    <t>Maximum Allowable Strain (negative, with rubber contact):</t>
  </si>
  <si>
    <t>Required Compression Amount (aka minimum negative compressive strain):</t>
  </si>
  <si>
    <t>Required Stress for Minimum Compression:</t>
  </si>
  <si>
    <t>Pa</t>
  </si>
  <si>
    <t>Rubber Strip/Notch Width:</t>
  </si>
  <si>
    <t>N</t>
  </si>
  <si>
    <t>Total Bolt Tension Required (1-inch strip, or 2 in^2 total per side):</t>
  </si>
  <si>
    <t>Total Bolt Tension Required (0.5-inch strip, or 1 in^2 total per side):</t>
  </si>
  <si>
    <t>Total Bolt Tension Required (0.25 in^2 total per side):</t>
  </si>
  <si>
    <t>Print Material:</t>
  </si>
  <si>
    <t>PLA</t>
  </si>
  <si>
    <t>https://juggerbot3d.com/pla-filament-review/</t>
  </si>
  <si>
    <t>Tensile Strength:</t>
  </si>
  <si>
    <t>Factor of Safety:</t>
  </si>
  <si>
    <t>in^2</t>
  </si>
  <si>
    <t>Single Counterbore Area:</t>
  </si>
  <si>
    <t>Bolt Count:</t>
  </si>
  <si>
    <t>Total Counterbore Area:</t>
  </si>
  <si>
    <t xml:space="preserve">Maximum Bolt Tension: </t>
  </si>
  <si>
    <t>m</t>
  </si>
  <si>
    <t>=</t>
  </si>
  <si>
    <t>in</t>
  </si>
  <si>
    <t>(hopefully accounts for inaccuracies in linear compression model)</t>
  </si>
  <si>
    <t xml:space="preserve">Allowable Bolt Tension: </t>
  </si>
  <si>
    <t>Total Bolt Tension Required (3 in^2 total per side):</t>
  </si>
  <si>
    <t>Total Bolt Tension Required (4 in^2 total per side):</t>
  </si>
  <si>
    <t>OBJECTIVE: MAXIMIZE TOTAL BOLT TENSION TO MAXIMIZE FRICTION WITHOUT EXCEEDING ALLOWABLE BOLT TENSION</t>
  </si>
  <si>
    <t>Allowed Rubber Square Inchage per Side:</t>
  </si>
  <si>
    <t xml:space="preserve">Length of 0.5-inch Strips: </t>
  </si>
  <si>
    <t>Length per Strip if 8 0.5-inch Strips per Side:</t>
  </si>
  <si>
    <t>Assumed Poisson's Ratio (Based on Incompressible Assumption):</t>
  </si>
  <si>
    <t>Compressive Strain:</t>
  </si>
  <si>
    <t>Lateral Strain:</t>
  </si>
  <si>
    <t>Assumed Strip Width:</t>
  </si>
  <si>
    <t>Lateral Width Deformation:</t>
  </si>
  <si>
    <t>Lateral Length Deformation:</t>
  </si>
  <si>
    <t>Used Side Strip Width:</t>
  </si>
  <si>
    <t>Used Side Strip Length:</t>
  </si>
  <si>
    <t>Used Top/Bottom Strip Width:</t>
  </si>
  <si>
    <t>Used Top/Bottom Strip Length:</t>
  </si>
  <si>
    <t>=&gt; "striplength"</t>
  </si>
  <si>
    <t>=&gt; "stripwidth"</t>
  </si>
  <si>
    <t>=&gt; "stripwidthdef"</t>
  </si>
  <si>
    <t>=&gt; "striplengthdef"</t>
  </si>
  <si>
    <t>=&gt; "striplength"*2</t>
  </si>
  <si>
    <t>=&gt; "stripwidth"*4</t>
  </si>
  <si>
    <t>=&gt; "striplength"*3</t>
  </si>
  <si>
    <t>=&gt; "stripwidthdef"/4</t>
  </si>
  <si>
    <t>=&gt; "striplengthdef"/2*3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</si>
</sst>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1"/>
    <xf numFmtId="0" fontId="3" fillId="0" borderId="0" xfId="0" applyFont="1"/>
    <xf numFmtId="0" fontId="1" fillId="0" borderId="0" xfId="0" applyFont="1"/>
    <xf numFmtId="0" fontId="4" fillId="0" borderId="0" xfId="1" applyFont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juggerbot3d.com/pla-filament-review/" TargetMode="External"/><Relationship Id="rId2" Type="http://schemas.openxmlformats.org/officeDocument/2006/relationships/hyperlink" Target="https://www.ekibv.com/rubber/butyl-rubber/eki899" TargetMode="External"/><Relationship Id="rId1" Type="http://schemas.openxmlformats.org/officeDocument/2006/relationships/hyperlink" Target="https://www.mcmaster.com/8609K45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topLeftCell="A22" workbookViewId="0">
      <selection activeCell="D43" sqref="D43"/>
    </sheetView>
  </sheetViews>
  <sheetFormatPr defaultRowHeight="14.4" x14ac:dyDescent="0.55000000000000004"/>
  <cols>
    <col min="1" max="1" width="60.9453125" bestFit="1" customWidth="1"/>
    <col min="2" max="2" width="16.41796875" bestFit="1" customWidth="1"/>
    <col min="3" max="3" width="42.41796875" bestFit="1" customWidth="1"/>
    <col min="5" max="5" width="24.26171875" bestFit="1" customWidth="1"/>
    <col min="7" max="7" width="52.5234375" bestFit="1" customWidth="1"/>
    <col min="9" max="9" width="6.68359375" bestFit="1" customWidth="1"/>
    <col min="10" max="10" width="2.26171875" bestFit="1" customWidth="1"/>
    <col min="11" max="11" width="1.62890625" bestFit="1" customWidth="1"/>
    <col min="12" max="12" width="1.68359375" bestFit="1" customWidth="1"/>
  </cols>
  <sheetData>
    <row r="1" spans="1:13" x14ac:dyDescent="0.55000000000000004">
      <c r="A1" s="3" t="s">
        <v>0</v>
      </c>
      <c r="B1" s="3" t="s">
        <v>1</v>
      </c>
      <c r="C1" s="4" t="s">
        <v>2</v>
      </c>
      <c r="D1" s="3"/>
      <c r="E1" s="3" t="s">
        <v>9</v>
      </c>
      <c r="F1" s="3"/>
      <c r="G1" s="3"/>
      <c r="I1">
        <v>2.5399999999999999E-2</v>
      </c>
      <c r="J1" t="s">
        <v>36</v>
      </c>
      <c r="K1" t="s">
        <v>37</v>
      </c>
      <c r="L1">
        <v>1</v>
      </c>
      <c r="M1" t="s">
        <v>38</v>
      </c>
    </row>
    <row r="2" spans="1:13" x14ac:dyDescent="0.55000000000000004">
      <c r="A2" t="s">
        <v>3</v>
      </c>
      <c r="B2">
        <v>1.5</v>
      </c>
      <c r="C2" t="s">
        <v>4</v>
      </c>
      <c r="E2" t="s">
        <v>10</v>
      </c>
      <c r="F2">
        <v>2.5000000000000001E-2</v>
      </c>
      <c r="G2" t="s">
        <v>11</v>
      </c>
    </row>
    <row r="3" spans="1:13" x14ac:dyDescent="0.55000000000000004">
      <c r="A3" t="s">
        <v>5</v>
      </c>
      <c r="B3">
        <v>25</v>
      </c>
      <c r="C3" t="s">
        <v>6</v>
      </c>
      <c r="E3" s="2" t="s">
        <v>12</v>
      </c>
      <c r="F3">
        <v>1.4999999999999999E-2</v>
      </c>
      <c r="G3" t="s">
        <v>11</v>
      </c>
    </row>
    <row r="4" spans="1:13" x14ac:dyDescent="0.55000000000000004">
      <c r="A4" t="s">
        <v>13</v>
      </c>
      <c r="B4">
        <v>6.25E-2</v>
      </c>
      <c r="C4" t="s">
        <v>11</v>
      </c>
    </row>
    <row r="5" spans="1:13" x14ac:dyDescent="0.55000000000000004">
      <c r="A5" t="s">
        <v>21</v>
      </c>
      <c r="B5">
        <v>2</v>
      </c>
      <c r="C5" t="s">
        <v>11</v>
      </c>
    </row>
    <row r="6" spans="1:13" x14ac:dyDescent="0.55000000000000004">
      <c r="A6" t="s">
        <v>7</v>
      </c>
      <c r="C6" s="1" t="s">
        <v>8</v>
      </c>
    </row>
    <row r="7" spans="1:13" x14ac:dyDescent="0.55000000000000004">
      <c r="A7" t="s">
        <v>47</v>
      </c>
      <c r="B7">
        <v>0.5</v>
      </c>
    </row>
    <row r="12" spans="1:13" x14ac:dyDescent="0.55000000000000004">
      <c r="A12" s="3" t="s">
        <v>15</v>
      </c>
      <c r="E12" t="s">
        <v>26</v>
      </c>
      <c r="F12" t="s">
        <v>27</v>
      </c>
      <c r="G12" s="1" t="s">
        <v>28</v>
      </c>
    </row>
    <row r="13" spans="1:13" x14ac:dyDescent="0.55000000000000004">
      <c r="A13" t="s">
        <v>14</v>
      </c>
      <c r="B13">
        <f>F2+F3</f>
        <v>0.04</v>
      </c>
      <c r="C13" t="s">
        <v>11</v>
      </c>
      <c r="E13" t="s">
        <v>29</v>
      </c>
      <c r="F13">
        <v>38</v>
      </c>
      <c r="G13" t="s">
        <v>4</v>
      </c>
    </row>
    <row r="14" spans="1:13" x14ac:dyDescent="0.55000000000000004">
      <c r="A14" t="s">
        <v>16</v>
      </c>
      <c r="B14">
        <f>(1-B3/100)*B4</f>
        <v>4.6875E-2</v>
      </c>
      <c r="C14" t="s">
        <v>11</v>
      </c>
      <c r="E14" t="s">
        <v>32</v>
      </c>
      <c r="F14">
        <v>4.6073000000000003E-2</v>
      </c>
      <c r="G14" t="s">
        <v>31</v>
      </c>
    </row>
    <row r="15" spans="1:13" x14ac:dyDescent="0.55000000000000004">
      <c r="A15" t="s">
        <v>18</v>
      </c>
      <c r="B15">
        <f>(B14-B13)/B13*100</f>
        <v>17.187499999999996</v>
      </c>
      <c r="C15" t="s">
        <v>6</v>
      </c>
      <c r="E15" t="s">
        <v>33</v>
      </c>
      <c r="F15">
        <v>4</v>
      </c>
    </row>
    <row r="16" spans="1:13" x14ac:dyDescent="0.55000000000000004">
      <c r="A16" t="s">
        <v>17</v>
      </c>
      <c r="B16">
        <f>(B14-F3)/F3*100</f>
        <v>212.5</v>
      </c>
      <c r="C16" t="s">
        <v>6</v>
      </c>
      <c r="E16" t="s">
        <v>34</v>
      </c>
      <c r="F16">
        <f>F14*F15</f>
        <v>0.18429200000000001</v>
      </c>
      <c r="G16" t="s">
        <v>31</v>
      </c>
    </row>
    <row r="17" spans="1:7" x14ac:dyDescent="0.55000000000000004">
      <c r="A17" t="s">
        <v>19</v>
      </c>
      <c r="B17">
        <f>B2*10^6*B15/100</f>
        <v>257812.49999999997</v>
      </c>
      <c r="C17" t="s">
        <v>20</v>
      </c>
      <c r="E17" t="s">
        <v>35</v>
      </c>
      <c r="F17">
        <f>F13*10^6*(F16*I1^2)</f>
        <v>4518.1174153600005</v>
      </c>
      <c r="G17" t="s">
        <v>22</v>
      </c>
    </row>
    <row r="18" spans="1:7" x14ac:dyDescent="0.55000000000000004">
      <c r="A18" t="s">
        <v>23</v>
      </c>
      <c r="B18">
        <f>(1*B5*I1^2)*B17</f>
        <v>332.66062499999998</v>
      </c>
      <c r="C18" t="s">
        <v>22</v>
      </c>
      <c r="E18" t="s">
        <v>30</v>
      </c>
      <c r="F18">
        <v>8</v>
      </c>
      <c r="G18" t="s">
        <v>39</v>
      </c>
    </row>
    <row r="19" spans="1:7" x14ac:dyDescent="0.55000000000000004">
      <c r="A19" t="s">
        <v>41</v>
      </c>
      <c r="B19">
        <f>(3*I1^2)*B17</f>
        <v>498.99093749999992</v>
      </c>
      <c r="C19" t="s">
        <v>22</v>
      </c>
      <c r="E19" t="s">
        <v>40</v>
      </c>
      <c r="F19">
        <f>F13*10^6/F18*(F16*I1^2)</f>
        <v>564.76467692000006</v>
      </c>
      <c r="G19" t="s">
        <v>22</v>
      </c>
    </row>
    <row r="20" spans="1:7" x14ac:dyDescent="0.55000000000000004">
      <c r="A20" t="s">
        <v>42</v>
      </c>
      <c r="B20">
        <f>(4*I1^2)*B17</f>
        <v>665.32124999999996</v>
      </c>
      <c r="C20" t="s">
        <v>22</v>
      </c>
    </row>
    <row r="21" spans="1:7" x14ac:dyDescent="0.55000000000000004">
      <c r="A21" t="s">
        <v>24</v>
      </c>
      <c r="B21">
        <f>(0.5*B5*I1^2)*B17</f>
        <v>166.33031249999999</v>
      </c>
      <c r="C21" t="s">
        <v>22</v>
      </c>
    </row>
    <row r="22" spans="1:7" x14ac:dyDescent="0.55000000000000004">
      <c r="A22" t="s">
        <v>25</v>
      </c>
      <c r="B22">
        <f>(0.25*I1^2)*B17</f>
        <v>41.582578124999998</v>
      </c>
      <c r="C22" t="s">
        <v>22</v>
      </c>
    </row>
    <row r="24" spans="1:7" x14ac:dyDescent="0.55000000000000004">
      <c r="A24" t="s">
        <v>43</v>
      </c>
    </row>
    <row r="26" spans="1:7" x14ac:dyDescent="0.55000000000000004">
      <c r="A26" t="s">
        <v>44</v>
      </c>
      <c r="B26" s="2">
        <f>$F$19/$B$17/$I$1^2</f>
        <v>3.3954404848484852</v>
      </c>
      <c r="C26" t="s">
        <v>31</v>
      </c>
    </row>
    <row r="27" spans="1:7" x14ac:dyDescent="0.55000000000000004">
      <c r="A27" t="s">
        <v>50</v>
      </c>
      <c r="B27">
        <v>0.5</v>
      </c>
      <c r="C27" t="s">
        <v>38</v>
      </c>
      <c r="D27" s="5" t="s">
        <v>58</v>
      </c>
    </row>
    <row r="28" spans="1:7" x14ac:dyDescent="0.55000000000000004">
      <c r="A28" t="s">
        <v>45</v>
      </c>
      <c r="B28">
        <f>B26/B27</f>
        <v>6.7908809696969703</v>
      </c>
      <c r="C28" t="s">
        <v>38</v>
      </c>
    </row>
    <row r="29" spans="1:7" x14ac:dyDescent="0.55000000000000004">
      <c r="A29" t="s">
        <v>46</v>
      </c>
      <c r="B29">
        <f>B28/8</f>
        <v>0.84886012121212129</v>
      </c>
      <c r="C29" t="s">
        <v>38</v>
      </c>
      <c r="D29" s="5" t="s">
        <v>57</v>
      </c>
    </row>
    <row r="31" spans="1:7" x14ac:dyDescent="0.55000000000000004">
      <c r="A31" t="s">
        <v>53</v>
      </c>
      <c r="B31">
        <f>B27*4</f>
        <v>2</v>
      </c>
      <c r="C31" t="s">
        <v>38</v>
      </c>
      <c r="D31" s="5" t="s">
        <v>62</v>
      </c>
    </row>
    <row r="32" spans="1:7" x14ac:dyDescent="0.55000000000000004">
      <c r="A32" t="s">
        <v>54</v>
      </c>
      <c r="B32">
        <f>B29*2</f>
        <v>1.6977202424242426</v>
      </c>
      <c r="C32" t="s">
        <v>38</v>
      </c>
      <c r="D32" s="5" t="s">
        <v>61</v>
      </c>
    </row>
    <row r="34" spans="1:4" x14ac:dyDescent="0.55000000000000004">
      <c r="A34" t="s">
        <v>48</v>
      </c>
      <c r="B34">
        <f>$B$15/100</f>
        <v>0.17187499999999997</v>
      </c>
    </row>
    <row r="35" spans="1:4" x14ac:dyDescent="0.55000000000000004">
      <c r="A35" t="s">
        <v>49</v>
      </c>
      <c r="B35">
        <f>$B$34*$B$7</f>
        <v>8.5937499999999986E-2</v>
      </c>
    </row>
    <row r="36" spans="1:4" x14ac:dyDescent="0.55000000000000004">
      <c r="A36" t="s">
        <v>51</v>
      </c>
      <c r="B36">
        <f>B31*(B35)</f>
        <v>0.17187499999999997</v>
      </c>
      <c r="C36" t="s">
        <v>38</v>
      </c>
      <c r="D36" s="5" t="s">
        <v>59</v>
      </c>
    </row>
    <row r="37" spans="1:4" x14ac:dyDescent="0.55000000000000004">
      <c r="A37" t="s">
        <v>52</v>
      </c>
      <c r="B37">
        <f>B32*(B35)</f>
        <v>0.14589783333333331</v>
      </c>
      <c r="C37" t="s">
        <v>38</v>
      </c>
      <c r="D37" s="5" t="s">
        <v>60</v>
      </c>
    </row>
    <row r="39" spans="1:4" x14ac:dyDescent="0.55000000000000004">
      <c r="A39" t="s">
        <v>55</v>
      </c>
      <c r="B39">
        <f>B27</f>
        <v>0.5</v>
      </c>
      <c r="C39" t="s">
        <v>38</v>
      </c>
      <c r="D39" s="5" t="s">
        <v>58</v>
      </c>
    </row>
    <row r="40" spans="1:4" x14ac:dyDescent="0.55000000000000004">
      <c r="A40" t="s">
        <v>56</v>
      </c>
      <c r="B40">
        <f>B29*3</f>
        <v>2.5465803636363638</v>
      </c>
      <c r="C40" t="s">
        <v>38</v>
      </c>
      <c r="D40" s="5" t="s">
        <v>63</v>
      </c>
    </row>
    <row r="41" spans="1:4" x14ac:dyDescent="0.55000000000000004">
      <c r="A41" t="s">
        <v>51</v>
      </c>
      <c r="B41">
        <f>B36/4</f>
        <v>4.2968749999999993E-2</v>
      </c>
      <c r="D41" s="5" t="s">
        <v>64</v>
      </c>
    </row>
    <row r="42" spans="1:4" x14ac:dyDescent="0.55000000000000004">
      <c r="A42" t="s">
        <v>52</v>
      </c>
      <c r="B42">
        <f>B37/2*3</f>
        <v>0.21884674999999998</v>
      </c>
      <c r="D42" s="5" t="s">
        <v>65</v>
      </c>
    </row>
  </sheetData>
  <hyperlinks>
    <hyperlink ref="C1" r:id="rId1" xr:uid="{A787F5C3-153B-4E21-94AD-CEB553B49AFB}"/>
    <hyperlink ref="C6" r:id="rId2" xr:uid="{B52E4D7B-5946-4363-A985-85129D865CC6}"/>
    <hyperlink ref="G12" r:id="rId3" xr:uid="{14A5C3F9-4C65-45E0-ABCE-57A1C60693DA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Luo</dc:creator>
  <cp:lastModifiedBy>Luo, Hongrui</cp:lastModifiedBy>
  <dcterms:created xsi:type="dcterms:W3CDTF">2015-06-05T18:17:20Z</dcterms:created>
  <dcterms:modified xsi:type="dcterms:W3CDTF">2024-12-05T00:29:27Z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44bd30-2ed7-4c9d-9d12-46200872a97b_Enabled">
    <vt:lpwstr>true</vt:lpwstr>
  </property>
  <property fmtid="{D5CDD505-2E9C-101B-9397-08002B2CF9AE}" pid="3" name="MSIP_Label_4044bd30-2ed7-4c9d-9d12-46200872a97b_SetDate">
    <vt:lpwstr>2024-11-19T00:28:10Z</vt:lpwstr>
  </property>
  <property fmtid="{D5CDD505-2E9C-101B-9397-08002B2CF9AE}" pid="4" name="MSIP_Label_4044bd30-2ed7-4c9d-9d12-46200872a97b_Method">
    <vt:lpwstr>Standard</vt:lpwstr>
  </property>
  <property fmtid="{D5CDD505-2E9C-101B-9397-08002B2CF9AE}" pid="5" name="MSIP_Label_4044bd30-2ed7-4c9d-9d12-46200872a97b_Name">
    <vt:lpwstr>defa4170-0d19-0005-0004-bc88714345d2</vt:lpwstr>
  </property>
  <property fmtid="{D5CDD505-2E9C-101B-9397-08002B2CF9AE}" pid="6" name="MSIP_Label_4044bd30-2ed7-4c9d-9d12-46200872a97b_SiteId">
    <vt:lpwstr>4130bd39-7c53-419c-b1e5-8758d6d63f21</vt:lpwstr>
  </property>
  <property fmtid="{D5CDD505-2E9C-101B-9397-08002B2CF9AE}" pid="7" name="MSIP_Label_4044bd30-2ed7-4c9d-9d12-46200872a97b_ActionId">
    <vt:lpwstr>5ab23019-74e3-4ba0-bb0b-b426003db8cc</vt:lpwstr>
  </property>
  <property fmtid="{D5CDD505-2E9C-101B-9397-08002B2CF9AE}" pid="8" name="MSIP_Label_4044bd30-2ed7-4c9d-9d12-46200872a97b_ContentBits">
    <vt:lpwstr>0</vt:lpwstr>
  </property>
</Properties>
</file>