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uo438_purdue_edu/Documents/ME 315 Team 4/"/>
    </mc:Choice>
  </mc:AlternateContent>
  <xr:revisionPtr revIDLastSave="52" documentId="8_{2BCB26E8-1BDA-4BA0-8A15-3887995B67FC}" xr6:coauthVersionLast="47" xr6:coauthVersionMax="47" xr10:uidLastSave="{05CC6B7E-D0BB-47E9-85BC-99B6DA412E6E}"/>
  <bookViews>
    <workbookView xWindow="14295" yWindow="0" windowWidth="14610" windowHeight="15585" firstSheet="1" activeTab="1" xr2:uid="{8EFE1B2F-B1F5-48A8-BCD1-55AC6863C28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K16" i="2"/>
  <c r="K15" i="2"/>
  <c r="K11" i="2"/>
  <c r="K10" i="2"/>
  <c r="K9" i="2"/>
  <c r="K5" i="2"/>
  <c r="K4" i="2"/>
  <c r="K3" i="2"/>
  <c r="J17" i="2"/>
  <c r="J16" i="2"/>
  <c r="J15" i="2"/>
  <c r="J11" i="2"/>
  <c r="J10" i="2"/>
  <c r="J9" i="2"/>
  <c r="J5" i="2"/>
  <c r="J4" i="2"/>
  <c r="J3" i="2"/>
</calcChain>
</file>

<file path=xl/sharedStrings.xml><?xml version="1.0" encoding="utf-8"?>
<sst xmlns="http://schemas.openxmlformats.org/spreadsheetml/2006/main" count="43" uniqueCount="18">
  <si>
    <t>62.7 C</t>
  </si>
  <si>
    <t>Ambient</t>
  </si>
  <si>
    <t>Default power</t>
  </si>
  <si>
    <t>Infil %</t>
  </si>
  <si>
    <t>Power reading</t>
  </si>
  <si>
    <t>Resistance</t>
  </si>
  <si>
    <t>Voltage setting</t>
  </si>
  <si>
    <t>23 C</t>
  </si>
  <si>
    <t>3.4W</t>
  </si>
  <si>
    <t>74 C</t>
  </si>
  <si>
    <t>81.4 C</t>
  </si>
  <si>
    <t>64 C</t>
  </si>
  <si>
    <t>61 c</t>
  </si>
  <si>
    <t>61 C</t>
  </si>
  <si>
    <t>calc. power</t>
  </si>
  <si>
    <t>measured power</t>
  </si>
  <si>
    <t>75c</t>
  </si>
  <si>
    <t>82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</si>
</sst>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FDCA-4D65-4F19-ADE9-389CF06C4E7B}">
  <dimension ref="A1:H17"/>
  <sheetViews>
    <sheetView workbookViewId="0">
      <selection activeCell="E16" sqref="A1:XFD1048576"/>
    </sheetView>
  </sheetViews>
  <sheetFormatPr defaultRowHeight="15"/>
  <sheetData>
    <row r="1" spans="1:8">
      <c r="A1" t="s">
        <v>0</v>
      </c>
      <c r="F1" t="s">
        <v>1</v>
      </c>
      <c r="H1" t="s">
        <v>2</v>
      </c>
    </row>
    <row r="2" spans="1:8">
      <c r="A2" t="s">
        <v>3</v>
      </c>
      <c r="B2" t="s">
        <v>4</v>
      </c>
      <c r="C2" t="s">
        <v>5</v>
      </c>
      <c r="D2" t="s">
        <v>6</v>
      </c>
      <c r="F2" t="s">
        <v>7</v>
      </c>
      <c r="H2" t="s">
        <v>8</v>
      </c>
    </row>
    <row r="3" spans="1:8">
      <c r="A3">
        <v>100</v>
      </c>
      <c r="B3">
        <v>4.7</v>
      </c>
      <c r="C3" s="1">
        <v>332.6</v>
      </c>
      <c r="D3">
        <v>15</v>
      </c>
    </row>
    <row r="4" spans="1:8">
      <c r="A4">
        <v>50</v>
      </c>
      <c r="C4" s="1">
        <v>332.6</v>
      </c>
    </row>
    <row r="5" spans="1:8">
      <c r="A5">
        <v>15</v>
      </c>
      <c r="C5" s="1">
        <v>332.6</v>
      </c>
    </row>
    <row r="7" spans="1:8">
      <c r="A7" t="s">
        <v>9</v>
      </c>
    </row>
    <row r="8" spans="1:8">
      <c r="A8" t="s">
        <v>3</v>
      </c>
      <c r="B8" t="s">
        <v>4</v>
      </c>
      <c r="C8" t="s">
        <v>5</v>
      </c>
      <c r="D8" t="s">
        <v>6</v>
      </c>
    </row>
    <row r="9" spans="1:8">
      <c r="A9">
        <v>100</v>
      </c>
      <c r="B9">
        <v>6</v>
      </c>
      <c r="C9" s="1">
        <v>332.6</v>
      </c>
      <c r="D9">
        <v>18</v>
      </c>
    </row>
    <row r="10" spans="1:8">
      <c r="A10">
        <v>50</v>
      </c>
      <c r="C10" s="1">
        <v>332.6</v>
      </c>
    </row>
    <row r="11" spans="1:8">
      <c r="A11">
        <v>15</v>
      </c>
      <c r="C11" s="1">
        <v>332.6</v>
      </c>
    </row>
    <row r="13" spans="1:8">
      <c r="A13" t="s">
        <v>10</v>
      </c>
    </row>
    <row r="14" spans="1:8">
      <c r="A14" t="s">
        <v>3</v>
      </c>
      <c r="B14" t="s">
        <v>4</v>
      </c>
      <c r="C14" t="s">
        <v>5</v>
      </c>
      <c r="D14" t="s">
        <v>6</v>
      </c>
    </row>
    <row r="15" spans="1:8">
      <c r="A15">
        <v>100</v>
      </c>
      <c r="B15">
        <v>6.1</v>
      </c>
      <c r="C15" s="1">
        <v>332.6</v>
      </c>
      <c r="D15">
        <v>19</v>
      </c>
    </row>
    <row r="16" spans="1:8">
      <c r="A16">
        <v>50</v>
      </c>
      <c r="C16" s="1">
        <v>332.6</v>
      </c>
    </row>
    <row r="17" spans="1:3">
      <c r="A17">
        <v>15</v>
      </c>
      <c r="C17" s="1">
        <v>332.6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4D7-D4D9-4208-BC21-75D431C7CE6C}">
  <dimension ref="A1:K17"/>
  <sheetViews>
    <sheetView tabSelected="1" workbookViewId="0">
      <selection activeCell="K15" sqref="K15:K17"/>
    </sheetView>
  </sheetViews>
  <sheetFormatPr defaultRowHeight="15"/>
  <sheetData>
    <row r="1" spans="1:11">
      <c r="A1" t="s">
        <v>11</v>
      </c>
      <c r="B1" t="s">
        <v>12</v>
      </c>
      <c r="C1" t="s">
        <v>13</v>
      </c>
      <c r="F1" t="s">
        <v>1</v>
      </c>
      <c r="H1" t="s">
        <v>2</v>
      </c>
    </row>
    <row r="2" spans="1:11">
      <c r="A2" t="s">
        <v>3</v>
      </c>
      <c r="B2" t="s">
        <v>4</v>
      </c>
      <c r="C2" t="s">
        <v>5</v>
      </c>
      <c r="D2" t="s">
        <v>6</v>
      </c>
      <c r="F2" t="s">
        <v>7</v>
      </c>
      <c r="H2">
        <v>3.4</v>
      </c>
      <c r="J2" t="s">
        <v>14</v>
      </c>
      <c r="K2" t="s">
        <v>15</v>
      </c>
    </row>
    <row r="3" spans="1:11">
      <c r="A3">
        <v>100</v>
      </c>
      <c r="B3">
        <v>4.5999999999999996</v>
      </c>
      <c r="C3" s="1">
        <v>332.6</v>
      </c>
      <c r="D3">
        <v>25</v>
      </c>
      <c r="J3">
        <f>(D3^2)/C3</f>
        <v>1.8791340950090196</v>
      </c>
      <c r="K3">
        <f>B3-H2</f>
        <v>1.1999999999999997</v>
      </c>
    </row>
    <row r="4" spans="1:11">
      <c r="A4">
        <v>50</v>
      </c>
      <c r="B4">
        <v>4</v>
      </c>
      <c r="C4" s="1">
        <v>332.6</v>
      </c>
      <c r="D4">
        <v>20</v>
      </c>
      <c r="J4">
        <f>(D4^2)/C4</f>
        <v>1.2026458208057726</v>
      </c>
      <c r="K4">
        <f>B4-$H$2</f>
        <v>0.60000000000000009</v>
      </c>
    </row>
    <row r="5" spans="1:11">
      <c r="A5">
        <v>15</v>
      </c>
      <c r="B5">
        <v>4</v>
      </c>
      <c r="C5" s="1">
        <v>332.6</v>
      </c>
      <c r="D5">
        <v>18</v>
      </c>
      <c r="H5">
        <v>0</v>
      </c>
      <c r="J5">
        <f>(D5^2)/C5</f>
        <v>0.9741431148526758</v>
      </c>
      <c r="K5">
        <f>B5-$H$2</f>
        <v>0.60000000000000009</v>
      </c>
    </row>
    <row r="7" spans="1:11">
      <c r="A7" t="s">
        <v>9</v>
      </c>
      <c r="B7" t="s">
        <v>16</v>
      </c>
      <c r="C7">
        <v>74</v>
      </c>
    </row>
    <row r="8" spans="1:11">
      <c r="A8" t="s">
        <v>3</v>
      </c>
      <c r="B8" t="s">
        <v>4</v>
      </c>
      <c r="C8" t="s">
        <v>5</v>
      </c>
      <c r="D8" t="s">
        <v>6</v>
      </c>
    </row>
    <row r="9" spans="1:11">
      <c r="A9">
        <v>100</v>
      </c>
      <c r="B9">
        <v>6</v>
      </c>
      <c r="C9" s="1">
        <v>332.6</v>
      </c>
      <c r="D9">
        <v>18</v>
      </c>
      <c r="J9">
        <f t="shared" ref="J9:J11" si="0">(D9^2)/C9</f>
        <v>0.9741431148526758</v>
      </c>
      <c r="K9">
        <f t="shared" ref="K9:K11" si="1">B9-$H$2</f>
        <v>2.6</v>
      </c>
    </row>
    <row r="10" spans="1:11">
      <c r="A10">
        <v>50</v>
      </c>
      <c r="B10">
        <v>4.5999999999999996</v>
      </c>
      <c r="C10" s="1">
        <v>332.6</v>
      </c>
      <c r="D10">
        <v>23</v>
      </c>
      <c r="J10">
        <f t="shared" si="0"/>
        <v>1.5904990980156344</v>
      </c>
      <c r="K10">
        <f t="shared" si="1"/>
        <v>1.1999999999999997</v>
      </c>
    </row>
    <row r="11" spans="1:11">
      <c r="A11">
        <v>15</v>
      </c>
      <c r="B11">
        <v>6.8</v>
      </c>
      <c r="C11" s="1">
        <v>332.6</v>
      </c>
      <c r="D11">
        <v>20</v>
      </c>
      <c r="J11">
        <f t="shared" si="0"/>
        <v>1.2026458208057726</v>
      </c>
      <c r="K11">
        <f t="shared" si="1"/>
        <v>3.4</v>
      </c>
    </row>
    <row r="13" spans="1:11">
      <c r="A13" t="s">
        <v>10</v>
      </c>
      <c r="B13" t="s">
        <v>17</v>
      </c>
    </row>
    <row r="14" spans="1:11">
      <c r="A14" t="s">
        <v>3</v>
      </c>
      <c r="B14" t="s">
        <v>4</v>
      </c>
      <c r="C14" t="s">
        <v>5</v>
      </c>
      <c r="D14" t="s">
        <v>6</v>
      </c>
    </row>
    <row r="15" spans="1:11">
      <c r="A15">
        <v>100</v>
      </c>
      <c r="B15">
        <v>5.4</v>
      </c>
      <c r="C15" s="1">
        <v>332.6</v>
      </c>
      <c r="D15">
        <v>25</v>
      </c>
      <c r="J15">
        <f t="shared" ref="J15:J17" si="2">(D15^2)/C15</f>
        <v>1.8791340950090196</v>
      </c>
      <c r="K15">
        <f t="shared" ref="K15:K17" si="3">B15-$H$2</f>
        <v>2.0000000000000004</v>
      </c>
    </row>
    <row r="16" spans="1:11">
      <c r="A16">
        <v>50</v>
      </c>
      <c r="B16">
        <v>7.8</v>
      </c>
      <c r="C16" s="1">
        <v>332.6</v>
      </c>
      <c r="D16">
        <v>25</v>
      </c>
      <c r="J16">
        <f t="shared" si="2"/>
        <v>1.8791340950090196</v>
      </c>
      <c r="K16">
        <f t="shared" si="3"/>
        <v>4.4000000000000004</v>
      </c>
    </row>
    <row r="17" spans="1:11">
      <c r="A17">
        <v>15</v>
      </c>
      <c r="B17">
        <v>10.8</v>
      </c>
      <c r="C17" s="1">
        <v>332.6</v>
      </c>
      <c r="J17">
        <f t="shared" si="2"/>
        <v>0</v>
      </c>
      <c r="K17">
        <f t="shared" si="3"/>
        <v>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D8ED5D0384AE4FB1F30A2F1D725CF1" ma:contentTypeVersion="13" ma:contentTypeDescription="Create a new document." ma:contentTypeScope="" ma:versionID="8aefd977c7ffeaa8edd55891a9a1d8b4">
  <xsd:schema xmlns:xsd="http://www.w3.org/2001/XMLSchema" xmlns:xs="http://www.w3.org/2001/XMLSchema" xmlns:p="http://schemas.microsoft.com/office/2006/metadata/properties" xmlns:ns3="7eca46d9-5043-4f7c-aa04-50e282fe9ff8" xmlns:ns4="34ff8537-8445-42da-8a63-7fedf6bade40" targetNamespace="http://schemas.microsoft.com/office/2006/metadata/properties" ma:root="true" ma:fieldsID="e5451848967b506c3cb5bf802e9ebfb6" ns3:_="" ns4:_="">
    <xsd:import namespace="7eca46d9-5043-4f7c-aa04-50e282fe9ff8"/>
    <xsd:import namespace="34ff8537-8445-42da-8a63-7fedf6bade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a46d9-5043-4f7c-aa04-50e282fe9f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f8537-8445-42da-8a63-7fedf6bade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ca46d9-5043-4f7c-aa04-50e282fe9ff8" xsi:nil="true"/>
  </documentManagement>
</p:properties>
</file>

<file path=customXml/itemProps1.xml><?xml version="1.0" encoding="utf-8"?>
<ds:datastoreItem xmlns:ds="http://schemas.openxmlformats.org/officeDocument/2006/customXml" ds:itemID="{DF5BBBE5-B963-4E97-AC27-97BFF59E2A5B}"/>
</file>

<file path=customXml/itemProps2.xml><?xml version="1.0" encoding="utf-8"?>
<ds:datastoreItem xmlns:ds="http://schemas.openxmlformats.org/officeDocument/2006/customXml" ds:itemID="{33D07490-F77F-4AC0-B0F8-7FA9749456AE}"/>
</file>

<file path=customXml/itemProps3.xml><?xml version="1.0" encoding="utf-8"?>
<ds:datastoreItem xmlns:ds="http://schemas.openxmlformats.org/officeDocument/2006/customXml" ds:itemID="{362E0144-479F-4F43-854F-43936B7D7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Md Berggren</dc:creator>
  <cp:keywords/>
  <dc:description/>
  <cp:lastModifiedBy>Daniel Md Berggren</cp:lastModifiedBy>
  <cp:revision/>
  <dcterms:created xsi:type="dcterms:W3CDTF">2026-04-08T15:42:18Z</dcterms:created>
  <dcterms:modified xsi:type="dcterms:W3CDTF">2026-04-24T16:48:19Z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0x01010064D8ED5D0384AE4FB1F30A2F1D725CF1</vt:lpwstr>
  </property>
</Properties>
</file>